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Tushar Negi\Downloads\"/>
    </mc:Choice>
  </mc:AlternateContent>
  <xr:revisionPtr revIDLastSave="0" documentId="13_ncr:1_{BBDB2825-7AE5-436D-A396-137932915AB4}" xr6:coauthVersionLast="47" xr6:coauthVersionMax="47" xr10:uidLastSave="{00000000-0000-0000-0000-000000000000}"/>
  <bookViews>
    <workbookView xWindow="-108" yWindow="-108" windowWidth="23256" windowHeight="13176" firstSheet="1"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8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<sst xmlns="http://schemas.openxmlformats.org/spreadsheetml/2006/main" count="16272" uniqueCount="51">
  <si>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</si>
  <si>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</si>
  <si>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</si>
  <si>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</si>
  <si>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</si>
  <si>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</si>
  <si>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</si>
  <si>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</si>
  <si>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</si>
  <si>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</si>
  <si>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</si>
  <si>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</si>
  <si>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</si>
  <si>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</si>
  <si>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</si>
  <si>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</si>
  <si>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</si>
  <si>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</si>
  <si>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</si>
  <si>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</si>
  <si>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</si>
  <si>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</si>
  <si>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</si>
  <si>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</si>
  <si>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</si>
  <si>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</si>
  <si>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</si>
  <si>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</si>
  <si>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</si>
  <si>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</si>
  <si>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</si>
  <si>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</si>
  <si>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</si>
  <si>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</si>
  <si>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</si>
  <si>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</si>
  <si>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</si>
  <si>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</si>
  <si>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Marital Satus</t>
  </si>
  <si>
    <t>Male</t>
  </si>
  <si>
    <t>Female</t>
  </si>
  <si>
    <t>Age Brackets</t>
  </si>
  <si>
    <t>Row Labels</t>
  </si>
  <si>
    <t>Grand Total</t>
  </si>
  <si>
    <t>Average of Income</t>
  </si>
  <si>
    <t>Column Labels</t>
  </si>
  <si>
    <t>Count of Purchased Bike</t>
  </si>
  <si>
    <t>More than 10 Miles</t>
  </si>
  <si>
    <t>Middle Aged</t>
  </si>
  <si>
    <t>old</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</si>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</sst>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0" fillId="34" borderId="0" xfId="0" applyFill="1" applyAlignment="1">
      <alignment horizontal="center" vertical="center"/>
    </xf>
    <xf numFmtId="0" fontId="0" fillId="34" borderId="0" xfId="0" applyFill="1" applyAlignment="1">
      <alignment horizontal="left" vertical="top"/>
    </xf>
    <xf numFmtId="0" fontId="19" fillId="34" borderId="0" xfId="0" applyFont="1" applyFill="1" applyAlignment="1">
      <alignment horizontal="left" vertical="top"/>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42648381187826639"/>
          <c:y val="2.40513007035169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1426071741033"/>
          <c:y val="0.14712744240303297"/>
          <c:w val="0.62364129483814523"/>
          <c:h val="0.55193919019538296"/>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39375</c:v>
                </c:pt>
                <c:pt idx="1">
                  <c:v>40000</c:v>
                </c:pt>
              </c:numCache>
            </c:numRef>
          </c:val>
          <c:extLst>
            <c:ext xmlns:c16="http://schemas.microsoft.com/office/drawing/2014/chart" uri="{C3380CC4-5D6E-409C-BE32-E72D297353CC}">
              <c16:uniqueId val="{00000000-0D09-4E10-87C0-F41DB6B770A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40000</c:v>
                </c:pt>
                <c:pt idx="1">
                  <c:v>35294.117647058825</c:v>
                </c:pt>
              </c:numCache>
            </c:numRef>
          </c:val>
          <c:extLst>
            <c:ext xmlns:c16="http://schemas.microsoft.com/office/drawing/2014/chart" uri="{C3380CC4-5D6E-409C-BE32-E72D297353CC}">
              <c16:uniqueId val="{00000001-0D09-4E10-87C0-F41DB6B770AC}"/>
            </c:ext>
          </c:extLst>
        </c:ser>
        <c:dLbls>
          <c:showLegendKey val="0"/>
          <c:showVal val="0"/>
          <c:showCatName val="0"/>
          <c:showSerName val="0"/>
          <c:showPercent val="0"/>
          <c:showBubbleSize val="0"/>
        </c:dLbls>
        <c:gapWidth val="219"/>
        <c:overlap val="-27"/>
        <c:axId val="530451792"/>
        <c:axId val="523059056"/>
      </c:barChart>
      <c:catAx>
        <c:axId val="53045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59056"/>
        <c:crosses val="autoZero"/>
        <c:auto val="1"/>
        <c:lblAlgn val="ctr"/>
        <c:lblOffset val="100"/>
        <c:noMultiLvlLbl val="0"/>
      </c:catAx>
      <c:valAx>
        <c:axId val="523059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1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Commute</a:t>
            </a:r>
          </a:p>
        </c:rich>
      </c:tx>
      <c:layout>
        <c:manualLayout>
          <c:xMode val="edge"/>
          <c:yMode val="edge"/>
          <c:x val="0.34415201923378913"/>
          <c:y val="4.17081464113238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88618362987138E-2"/>
          <c:y val="0.15175711654185603"/>
          <c:w val="0.6568635170603675"/>
          <c:h val="0.65853091280256637"/>
        </c:manualLayout>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Table'!$A$37:$A$41</c:f>
              <c:strCache>
                <c:ptCount val="4"/>
                <c:pt idx="0">
                  <c:v>0-1 Miles</c:v>
                </c:pt>
                <c:pt idx="1">
                  <c:v>1-2 Miles</c:v>
                </c:pt>
                <c:pt idx="2">
                  <c:v>2-5 Miles</c:v>
                </c:pt>
                <c:pt idx="3">
                  <c:v>More than 10 Miles</c:v>
                </c:pt>
              </c:strCache>
            </c:strRef>
          </c:cat>
          <c:val>
            <c:numRef>
              <c:f>'Pivot Table'!$B$37:$B$41</c:f>
              <c:numCache>
                <c:formatCode>General</c:formatCode>
                <c:ptCount val="4"/>
                <c:pt idx="0">
                  <c:v>19</c:v>
                </c:pt>
                <c:pt idx="2">
                  <c:v>4</c:v>
                </c:pt>
                <c:pt idx="3">
                  <c:v>1</c:v>
                </c:pt>
              </c:numCache>
            </c:numRef>
          </c:val>
          <c:smooth val="0"/>
          <c:extLst>
            <c:ext xmlns:c16="http://schemas.microsoft.com/office/drawing/2014/chart" uri="{C3380CC4-5D6E-409C-BE32-E72D297353CC}">
              <c16:uniqueId val="{00000000-8B68-4153-BA05-9ACF6A852587}"/>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Table'!$A$37:$A$41</c:f>
              <c:strCache>
                <c:ptCount val="4"/>
                <c:pt idx="0">
                  <c:v>0-1 Miles</c:v>
                </c:pt>
                <c:pt idx="1">
                  <c:v>1-2 Miles</c:v>
                </c:pt>
                <c:pt idx="2">
                  <c:v>2-5 Miles</c:v>
                </c:pt>
                <c:pt idx="3">
                  <c:v>More than 10 Miles</c:v>
                </c:pt>
              </c:strCache>
            </c:strRef>
          </c:cat>
          <c:val>
            <c:numRef>
              <c:f>'Pivot Table'!$C$37:$C$41</c:f>
              <c:numCache>
                <c:formatCode>General</c:formatCode>
                <c:ptCount val="4"/>
                <c:pt idx="0">
                  <c:v>31</c:v>
                </c:pt>
                <c:pt idx="1">
                  <c:v>3</c:v>
                </c:pt>
                <c:pt idx="3">
                  <c:v>1</c:v>
                </c:pt>
              </c:numCache>
            </c:numRef>
          </c:val>
          <c:smooth val="0"/>
          <c:extLst>
            <c:ext xmlns:c16="http://schemas.microsoft.com/office/drawing/2014/chart" uri="{C3380CC4-5D6E-409C-BE32-E72D297353CC}">
              <c16:uniqueId val="{00000001-8B68-4153-BA05-9ACF6A852587}"/>
            </c:ext>
          </c:extLst>
        </c:ser>
        <c:dLbls>
          <c:showLegendKey val="0"/>
          <c:showVal val="0"/>
          <c:showCatName val="0"/>
          <c:showSerName val="0"/>
          <c:showPercent val="0"/>
          <c:showBubbleSize val="0"/>
        </c:dLbls>
        <c:smooth val="0"/>
        <c:axId val="428511776"/>
        <c:axId val="743374160"/>
      </c:lineChart>
      <c:catAx>
        <c:axId val="428511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1807142510655173"/>
              <c:y val="0.884074816841578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74160"/>
        <c:crosses val="autoZero"/>
        <c:auto val="1"/>
        <c:lblAlgn val="ctr"/>
        <c:lblOffset val="100"/>
        <c:noMultiLvlLbl val="0"/>
      </c:catAx>
      <c:valAx>
        <c:axId val="74337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51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Age</a:t>
            </a:r>
            <a:r>
              <a:rPr lang="en-IN" b="1" baseline="0"/>
              <a:t> Brackets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Table'!$B$70:$B$71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Table'!$A$72:$A$74</c:f>
              <c:strCache>
                <c:ptCount val="2"/>
                <c:pt idx="0">
                  <c:v>Middle Aged</c:v>
                </c:pt>
                <c:pt idx="1">
                  <c:v>old</c:v>
                </c:pt>
              </c:strCache>
            </c:strRef>
          </c:cat>
          <c:val>
            <c:numRef>
              <c:f>'Pivot Table'!$B$72:$B$74</c:f>
              <c:numCache>
                <c:formatCode>General</c:formatCode>
                <c:ptCount val="2"/>
                <c:pt idx="0">
                  <c:v>13</c:v>
                </c:pt>
                <c:pt idx="1">
                  <c:v>11</c:v>
                </c:pt>
              </c:numCache>
            </c:numRef>
          </c:val>
          <c:smooth val="0"/>
          <c:extLst>
            <c:ext xmlns:c16="http://schemas.microsoft.com/office/drawing/2014/chart" uri="{C3380CC4-5D6E-409C-BE32-E72D297353CC}">
              <c16:uniqueId val="{00000000-23BD-4EF0-8335-13E103BE9E26}"/>
            </c:ext>
          </c:extLst>
        </c:ser>
        <c:ser>
          <c:idx val="1"/>
          <c:order val="1"/>
          <c:tx>
            <c:strRef>
              <c:f>'Pivot Table'!$C$70:$C$71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Table'!$A$72:$A$74</c:f>
              <c:strCache>
                <c:ptCount val="2"/>
                <c:pt idx="0">
                  <c:v>Middle Aged</c:v>
                </c:pt>
                <c:pt idx="1">
                  <c:v>old</c:v>
                </c:pt>
              </c:strCache>
            </c:strRef>
          </c:cat>
          <c:val>
            <c:numRef>
              <c:f>'Pivot Table'!$C$72:$C$74</c:f>
              <c:numCache>
                <c:formatCode>General</c:formatCode>
                <c:ptCount val="2"/>
                <c:pt idx="0">
                  <c:v>32</c:v>
                </c:pt>
                <c:pt idx="1">
                  <c:v>3</c:v>
                </c:pt>
              </c:numCache>
            </c:numRef>
          </c:val>
          <c:smooth val="0"/>
          <c:extLst>
            <c:ext xmlns:c16="http://schemas.microsoft.com/office/drawing/2014/chart" uri="{C3380CC4-5D6E-409C-BE32-E72D297353CC}">
              <c16:uniqueId val="{00000001-23BD-4EF0-8335-13E103BE9E26}"/>
            </c:ext>
          </c:extLst>
        </c:ser>
        <c:dLbls>
          <c:showLegendKey val="0"/>
          <c:showVal val="0"/>
          <c:showCatName val="0"/>
          <c:showSerName val="0"/>
          <c:showPercent val="0"/>
          <c:showBubbleSize val="0"/>
        </c:dLbls>
        <c:marker val="1"/>
        <c:smooth val="0"/>
        <c:axId val="754240448"/>
        <c:axId val="743390480"/>
      </c:lineChart>
      <c:catAx>
        <c:axId val="754240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34801057120334061"/>
              <c:y val="0.832709375185309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90480"/>
        <c:crosses val="autoZero"/>
        <c:auto val="1"/>
        <c:lblAlgn val="ctr"/>
        <c:lblOffset val="100"/>
        <c:noMultiLvlLbl val="0"/>
      </c:catAx>
      <c:valAx>
        <c:axId val="74339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24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42648381187826639"/>
          <c:y val="2.40513007035169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1426071741033"/>
          <c:y val="0.14712744240303297"/>
          <c:w val="0.62364129483814523"/>
          <c:h val="0.55193919019538296"/>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39375</c:v>
                </c:pt>
                <c:pt idx="1">
                  <c:v>40000</c:v>
                </c:pt>
              </c:numCache>
            </c:numRef>
          </c:val>
          <c:extLst>
            <c:ext xmlns:c16="http://schemas.microsoft.com/office/drawing/2014/chart" uri="{C3380CC4-5D6E-409C-BE32-E72D297353CC}">
              <c16:uniqueId val="{00000000-B98B-47A6-BD7B-5E53F822C19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40000</c:v>
                </c:pt>
                <c:pt idx="1">
                  <c:v>35294.117647058825</c:v>
                </c:pt>
              </c:numCache>
            </c:numRef>
          </c:val>
          <c:extLst>
            <c:ext xmlns:c16="http://schemas.microsoft.com/office/drawing/2014/chart" uri="{C3380CC4-5D6E-409C-BE32-E72D297353CC}">
              <c16:uniqueId val="{00000001-B98B-47A6-BD7B-5E53F822C19D}"/>
            </c:ext>
          </c:extLst>
        </c:ser>
        <c:dLbls>
          <c:showLegendKey val="0"/>
          <c:showVal val="0"/>
          <c:showCatName val="0"/>
          <c:showSerName val="0"/>
          <c:showPercent val="0"/>
          <c:showBubbleSize val="0"/>
        </c:dLbls>
        <c:gapWidth val="219"/>
        <c:overlap val="-27"/>
        <c:axId val="530451792"/>
        <c:axId val="523059056"/>
      </c:barChart>
      <c:catAx>
        <c:axId val="53045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59056"/>
        <c:crosses val="autoZero"/>
        <c:auto val="1"/>
        <c:lblAlgn val="ctr"/>
        <c:lblOffset val="100"/>
        <c:noMultiLvlLbl val="0"/>
      </c:catAx>
      <c:valAx>
        <c:axId val="523059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1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Commute</a:t>
            </a:r>
          </a:p>
        </c:rich>
      </c:tx>
      <c:layout>
        <c:manualLayout>
          <c:xMode val="edge"/>
          <c:yMode val="edge"/>
          <c:x val="0.34415201923378913"/>
          <c:y val="4.17081464113238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88618362987138E-2"/>
          <c:y val="0.15175711654185603"/>
          <c:w val="0.6568635170603675"/>
          <c:h val="0.65853091280256637"/>
        </c:manualLayout>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Table'!$A$37:$A$41</c:f>
              <c:strCache>
                <c:ptCount val="4"/>
                <c:pt idx="0">
                  <c:v>0-1 Miles</c:v>
                </c:pt>
                <c:pt idx="1">
                  <c:v>1-2 Miles</c:v>
                </c:pt>
                <c:pt idx="2">
                  <c:v>2-5 Miles</c:v>
                </c:pt>
                <c:pt idx="3">
                  <c:v>More than 10 Miles</c:v>
                </c:pt>
              </c:strCache>
            </c:strRef>
          </c:cat>
          <c:val>
            <c:numRef>
              <c:f>'Pivot Table'!$B$37:$B$41</c:f>
              <c:numCache>
                <c:formatCode>General</c:formatCode>
                <c:ptCount val="4"/>
                <c:pt idx="0">
                  <c:v>19</c:v>
                </c:pt>
                <c:pt idx="2">
                  <c:v>4</c:v>
                </c:pt>
                <c:pt idx="3">
                  <c:v>1</c:v>
                </c:pt>
              </c:numCache>
            </c:numRef>
          </c:val>
          <c:smooth val="0"/>
          <c:extLst>
            <c:ext xmlns:c16="http://schemas.microsoft.com/office/drawing/2014/chart" uri="{C3380CC4-5D6E-409C-BE32-E72D297353CC}">
              <c16:uniqueId val="{00000000-E236-46E2-8389-AAC7DB533E29}"/>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Table'!$A$37:$A$41</c:f>
              <c:strCache>
                <c:ptCount val="4"/>
                <c:pt idx="0">
                  <c:v>0-1 Miles</c:v>
                </c:pt>
                <c:pt idx="1">
                  <c:v>1-2 Miles</c:v>
                </c:pt>
                <c:pt idx="2">
                  <c:v>2-5 Miles</c:v>
                </c:pt>
                <c:pt idx="3">
                  <c:v>More than 10 Miles</c:v>
                </c:pt>
              </c:strCache>
            </c:strRef>
          </c:cat>
          <c:val>
            <c:numRef>
              <c:f>'Pivot Table'!$C$37:$C$41</c:f>
              <c:numCache>
                <c:formatCode>General</c:formatCode>
                <c:ptCount val="4"/>
                <c:pt idx="0">
                  <c:v>31</c:v>
                </c:pt>
                <c:pt idx="1">
                  <c:v>3</c:v>
                </c:pt>
                <c:pt idx="3">
                  <c:v>1</c:v>
                </c:pt>
              </c:numCache>
            </c:numRef>
          </c:val>
          <c:smooth val="0"/>
          <c:extLst>
            <c:ext xmlns:c16="http://schemas.microsoft.com/office/drawing/2014/chart" uri="{C3380CC4-5D6E-409C-BE32-E72D297353CC}">
              <c16:uniqueId val="{00000001-E236-46E2-8389-AAC7DB533E29}"/>
            </c:ext>
          </c:extLst>
        </c:ser>
        <c:dLbls>
          <c:showLegendKey val="0"/>
          <c:showVal val="0"/>
          <c:showCatName val="0"/>
          <c:showSerName val="0"/>
          <c:showPercent val="0"/>
          <c:showBubbleSize val="0"/>
        </c:dLbls>
        <c:smooth val="0"/>
        <c:axId val="428511776"/>
        <c:axId val="743374160"/>
      </c:lineChart>
      <c:catAx>
        <c:axId val="428511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1807142510655173"/>
              <c:y val="0.884074816841578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74160"/>
        <c:crosses val="autoZero"/>
        <c:auto val="1"/>
        <c:lblAlgn val="ctr"/>
        <c:lblOffset val="100"/>
        <c:noMultiLvlLbl val="0"/>
      </c:catAx>
      <c:valAx>
        <c:axId val="74337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51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Age</a:t>
            </a:r>
            <a:r>
              <a:rPr lang="en-IN" b="1" baseline="0"/>
              <a:t> Brackets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Table'!$B$70:$B$71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Table'!$A$72:$A$74</c:f>
              <c:strCache>
                <c:ptCount val="2"/>
                <c:pt idx="0">
                  <c:v>Middle Aged</c:v>
                </c:pt>
                <c:pt idx="1">
                  <c:v>old</c:v>
                </c:pt>
              </c:strCache>
            </c:strRef>
          </c:cat>
          <c:val>
            <c:numRef>
              <c:f>'Pivot Table'!$B$72:$B$74</c:f>
              <c:numCache>
                <c:formatCode>General</c:formatCode>
                <c:ptCount val="2"/>
                <c:pt idx="0">
                  <c:v>13</c:v>
                </c:pt>
                <c:pt idx="1">
                  <c:v>11</c:v>
                </c:pt>
              </c:numCache>
            </c:numRef>
          </c:val>
          <c:smooth val="0"/>
          <c:extLst>
            <c:ext xmlns:c16="http://schemas.microsoft.com/office/drawing/2014/chart" uri="{C3380CC4-5D6E-409C-BE32-E72D297353CC}">
              <c16:uniqueId val="{00000000-54C3-4008-B90D-DFCF7A4090A1}"/>
            </c:ext>
          </c:extLst>
        </c:ser>
        <c:ser>
          <c:idx val="1"/>
          <c:order val="1"/>
          <c:tx>
            <c:strRef>
              <c:f>'Pivot Table'!$C$70:$C$71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Table'!$A$72:$A$74</c:f>
              <c:strCache>
                <c:ptCount val="2"/>
                <c:pt idx="0">
                  <c:v>Middle Aged</c:v>
                </c:pt>
                <c:pt idx="1">
                  <c:v>old</c:v>
                </c:pt>
              </c:strCache>
            </c:strRef>
          </c:cat>
          <c:val>
            <c:numRef>
              <c:f>'Pivot Table'!$C$72:$C$74</c:f>
              <c:numCache>
                <c:formatCode>General</c:formatCode>
                <c:ptCount val="2"/>
                <c:pt idx="0">
                  <c:v>32</c:v>
                </c:pt>
                <c:pt idx="1">
                  <c:v>3</c:v>
                </c:pt>
              </c:numCache>
            </c:numRef>
          </c:val>
          <c:smooth val="0"/>
          <c:extLst>
            <c:ext xmlns:c16="http://schemas.microsoft.com/office/drawing/2014/chart" uri="{C3380CC4-5D6E-409C-BE32-E72D297353CC}">
              <c16:uniqueId val="{00000001-54C3-4008-B90D-DFCF7A4090A1}"/>
            </c:ext>
          </c:extLst>
        </c:ser>
        <c:dLbls>
          <c:showLegendKey val="0"/>
          <c:showVal val="0"/>
          <c:showCatName val="0"/>
          <c:showSerName val="0"/>
          <c:showPercent val="0"/>
          <c:showBubbleSize val="0"/>
        </c:dLbls>
        <c:marker val="1"/>
        <c:smooth val="0"/>
        <c:axId val="754240448"/>
        <c:axId val="743390480"/>
      </c:lineChart>
      <c:catAx>
        <c:axId val="754240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34801057120334061"/>
              <c:y val="0.832709375185309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90480"/>
        <c:crosses val="autoZero"/>
        <c:auto val="1"/>
        <c:lblAlgn val="ctr"/>
        <c:lblOffset val="100"/>
        <c:noMultiLvlLbl val="0"/>
      </c:catAx>
      <c:valAx>
        <c:axId val="74339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24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261014</xdr:colOff>
      <xdr:row>1</xdr:row>
      <xdr:rowOff>170387</xdr:rowOff>
    </xdr:from>
    <xdr:to>
      <xdr:col>20</xdr:col>
      <xdr:colOff>299012</xdr:colOff>
      <xdr:row>27</xdr:row>
      <xdr:rowOff>67519</xdr:rowOff>
    </xdr:to>
    <xdr:graphicFrame macro="">
      <xdr:nvGraphicFramePr>
        <xdr:cNvPr id="2" name="Chart 1">
          <a:extLst>
            <a:ext uri="{FF2B5EF4-FFF2-40B4-BE49-F238E27FC236}">
              <a16:creationId xmlns:a16="http://schemas.microsoft.com/office/drawing/2014/main" id="{5009B3A4-D156-46AE-A0A8-F3843F7D4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453342</xdr:colOff>
      <xdr:row>33</xdr:row>
      <xdr:rowOff>163974</xdr:rowOff>
    </xdr:from>
    <xdr:to>
      <xdr:col>16</xdr:col>
      <xdr:colOff>67520</xdr:colOff>
      <xdr:row>56</xdr:row>
      <xdr:rowOff>144683</xdr:rowOff>
    </xdr:to>
    <xdr:graphicFrame macro="">
      <xdr:nvGraphicFramePr>
        <xdr:cNvPr id="3" name="Chart 2">
          <a:extLst>
            <a:ext uri="{FF2B5EF4-FFF2-40B4-BE49-F238E27FC236}">
              <a16:creationId xmlns:a16="http://schemas.microsoft.com/office/drawing/2014/main" id="{A37BA9E8-7DB5-D4A4-D07D-4842DB41F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188088</xdr:colOff>
      <xdr:row>66</xdr:row>
      <xdr:rowOff>9646</xdr:rowOff>
    </xdr:from>
    <xdr:to>
      <xdr:col>19</xdr:col>
      <xdr:colOff>491924</xdr:colOff>
      <xdr:row>89</xdr:row>
      <xdr:rowOff>0</xdr:rowOff>
    </xdr:to>
    <xdr:graphicFrame macro="">
      <xdr:nvGraphicFramePr>
        <xdr:cNvPr id="4" name="Chart 3">
          <a:extLst>
            <a:ext uri="{FF2B5EF4-FFF2-40B4-BE49-F238E27FC236}">
              <a16:creationId xmlns:a16="http://schemas.microsoft.com/office/drawing/2014/main" id="{25B87725-2B46-3325-7A24-4A44EB139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399746</xdr:colOff>
      <xdr:row>6</xdr:row>
      <xdr:rowOff>45394</xdr:rowOff>
    </xdr:from>
    <xdr:to>
      <xdr:col>14</xdr:col>
      <xdr:colOff>326476</xdr:colOff>
      <xdr:row>24</xdr:row>
      <xdr:rowOff>127977</xdr:rowOff>
    </xdr:to>
    <xdr:graphicFrame macro="">
      <xdr:nvGraphicFramePr>
        <xdr:cNvPr id="2" name="Chart 1">
          <a:extLst>
            <a:ext uri="{FF2B5EF4-FFF2-40B4-BE49-F238E27FC236}">
              <a16:creationId xmlns:a16="http://schemas.microsoft.com/office/drawing/2014/main" id="{F905272C-1589-498C-9296-AC92A242E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405580</xdr:colOff>
      <xdr:row>24</xdr:row>
      <xdr:rowOff>179221</xdr:rowOff>
    </xdr:from>
    <xdr:to>
      <xdr:col>24</xdr:col>
      <xdr:colOff>0</xdr:colOff>
      <xdr:row>43</xdr:row>
      <xdr:rowOff>78831</xdr:rowOff>
    </xdr:to>
    <xdr:graphicFrame macro="">
      <xdr:nvGraphicFramePr>
        <xdr:cNvPr id="3" name="Chart 2">
          <a:extLst>
            <a:ext uri="{FF2B5EF4-FFF2-40B4-BE49-F238E27FC236}">
              <a16:creationId xmlns:a16="http://schemas.microsoft.com/office/drawing/2014/main" id="{078E20CB-FB05-4433-B654-35051CC21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268965</xdr:colOff>
      <xdr:row>6</xdr:row>
      <xdr:rowOff>28192</xdr:rowOff>
    </xdr:from>
    <xdr:to>
      <xdr:col>24</xdr:col>
      <xdr:colOff>0</xdr:colOff>
      <xdr:row>24</xdr:row>
      <xdr:rowOff>127977</xdr:rowOff>
    </xdr:to>
    <xdr:graphicFrame macro="">
      <xdr:nvGraphicFramePr>
        <xdr:cNvPr id="4" name="Chart 3">
          <a:extLst>
            <a:ext uri="{FF2B5EF4-FFF2-40B4-BE49-F238E27FC236}">
              <a16:creationId xmlns:a16="http://schemas.microsoft.com/office/drawing/2014/main" id="{D538FF27-148D-4DAB-81B8-AEA0DC3C8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12289</xdr:colOff>
      <xdr:row>6</xdr:row>
      <xdr:rowOff>34638</xdr:rowOff>
    </xdr:from>
    <xdr:to>
      <xdr:col>4</xdr:col>
      <xdr:colOff>417869</xdr:colOff>
      <xdr:row>12</xdr:row>
      <xdr:rowOff>72571</xdr:rowOff>
    </xdr:to>
    <mc:AlternateContent xmlns:mc="http://schemas.openxmlformats.org/markup-compatibility/2006" xmlns:a14="http://schemas.microsoft.com/office/drawing/2010/main">
      <mc:Choice Requires="a14">
        <xdr:graphicFrame macro="">
          <xdr:nvGraphicFramePr>
            <xdr:cNvPr id="5" name="Marital Satus">
              <a:extLst>
                <a:ext uri="{FF2B5EF4-FFF2-40B4-BE49-F238E27FC236}">
                  <a16:creationId xmlns:a16="http://schemas.microsoft.com/office/drawing/2014/main" id="{18F9A012-9A87-12AA-75AF-04525DFEC096}"/>
                </a:ext>
              </a:extLst>
            </xdr:cNvPr>
            <xdr:cNvGraphicFramePr/>
          </xdr:nvGraphicFramePr>
          <xdr:xfrm>
            <a:off x="0" y="0"/>
            <a:ext cx="0" cy="0"/>
          </xdr:xfrm>
          <a:graphic>
            <a:graphicData uri="http://schemas.microsoft.com/office/drawing/2010/slicer">
              <sle:slicer xmlns:sle="http://schemas.microsoft.com/office/drawing/2010/slicer" name="Marital Satus"/>
            </a:graphicData>
          </a:graphic>
        </xdr:graphicFrame>
      </mc:Choice>
      <mc:Fallback xmlns="">
        <xdr:sp macro="" textlink="">
          <xdr:nvSpPr>
            <xdr:cNvPr id="0" name=""/>
            <xdr:cNvSpPr>
              <a:spLocks noTextEdit="1"/>
            </xdr:cNvSpPr>
          </xdr:nvSpPr>
          <xdr:spPr>
            <a:xfrm>
              <a:off x="12289" y="1698338"/>
              <a:ext cx="2843980" cy="1104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16960</xdr:colOff>
      <xdr:row>20</xdr:row>
      <xdr:rowOff>81853</xdr:rowOff>
    </xdr:from>
    <xdr:to>
      <xdr:col>4</xdr:col>
      <xdr:colOff>405580</xdr:colOff>
      <xdr:row>33</xdr:row>
      <xdr:rowOff>152215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BD1323F-2B57-EAD0-739F-9EA1E3EDC82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6960" y="4234753"/>
              <a:ext cx="2827020" cy="2381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94882</xdr:rowOff>
    </xdr:from>
    <xdr:to>
      <xdr:col>4</xdr:col>
      <xdr:colOff>405579</xdr:colOff>
      <xdr:row>20</xdr:row>
      <xdr:rowOff>36872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176D06E-F611-EFF5-E82E-938BA42948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825382"/>
              <a:ext cx="2843979" cy="1364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Negi" refreshedDate="46204.712718402778" createdVersion="8" refreshedVersion="8" minRefreshableVersion="3" recordCount="1000" xr:uid="{DA7DAEE9-56B1-483F-A659-9A2FAB3C56D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37991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C6D2A1-37F1-4114-87C7-9A947D4BFD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D74"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47DC6E-8D5F-4403-A03E-32972A2C9C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5045BB-9FEF-4067-A3C7-947E038670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68357B-4764-41B0-B6A0-F13B2BAB49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6:D123"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6">
    <i>
      <x v="7"/>
    </i>
    <i>
      <x v="8"/>
    </i>
    <i>
      <x v="10"/>
    </i>
    <i>
      <x v="11"/>
    </i>
    <i>
      <x v="12"/>
    </i>
    <i>
      <x v="13"/>
    </i>
    <i>
      <x v="14"/>
    </i>
    <i>
      <x v="15"/>
    </i>
    <i>
      <x v="16"/>
    </i>
    <i>
      <x v="17"/>
    </i>
    <i>
      <x v="18"/>
    </i>
    <i>
      <x v="19"/>
    </i>
    <i>
      <x v="20"/>
    </i>
    <i>
      <x v="22"/>
    </i>
    <i>
      <x v="23"/>
    </i>
    <i>
      <x v="25"/>
    </i>
    <i>
      <x v="27"/>
    </i>
    <i>
      <x v="34"/>
    </i>
    <i>
      <x v="36"/>
    </i>
    <i>
      <x v="37"/>
    </i>
    <i>
      <x v="39"/>
    </i>
    <i>
      <x v="40"/>
    </i>
    <i>
      <x v="41"/>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atus" xr10:uid="{434104B5-5D1F-497B-8B46-C0FDB6F5E1D9}" sourceName="Marital Satus">
  <pivotTables>
    <pivotTable tabId="3" name="PivotTable2"/>
    <pivotTable tabId="3" name="PivotTable3"/>
    <pivotTable tabId="3" name="PivotTable4"/>
    <pivotTable tabId="3" name="PivotTable5"/>
  </pivotTables>
  <data>
    <tabular pivotCacheId="43799194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3FCEEF5-66FD-4F2E-A6FA-A9464E1C36E0}" sourceName="Education">
  <pivotTables>
    <pivotTable tabId="3" name="PivotTable2"/>
    <pivotTable tabId="3" name="PivotTable3"/>
    <pivotTable tabId="3" name="PivotTable4"/>
    <pivotTable tabId="3" name="PivotTable5"/>
  </pivotTables>
  <data>
    <tabular pivotCacheId="437991949">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20ED53-3833-42C3-A8C4-1663D9D7E737}" sourceName="Region">
  <pivotTables>
    <pivotTable tabId="3" name="PivotTable2"/>
    <pivotTable tabId="3" name="PivotTable3"/>
    <pivotTable tabId="3" name="PivotTable4"/>
    <pivotTable tabId="3" name="PivotTable5"/>
  </pivotTables>
  <data>
    <tabular pivotCacheId="43799194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atus" xr10:uid="{8EC44022-C1F3-44BB-9DF4-70A53B309538}" cache="Slicer_Marital_Satus" caption="Marital Satus" rowHeight="234950"/>
  <slicer name="Education" xr10:uid="{1B20F08A-484F-4471-A495-65FF6E8F7387}" cache="Slicer_Education" caption="Education" rowHeight="234950"/>
  <slicer name="Region" xr10:uid="{9298D97D-BD70-4797-B384-DEE964275429}"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08FC-4F32-45C7-B559-82CC445B0506}">
  <dimension ref="A1:N1001"/>
  <sheetViews>
    <sheetView tabSelected="1" workbookViewId="0">
      <selection activeCell="O676" sqref="O676"/>
    </sheetView>
  </sheetViews>
  <sheetFormatPr defaultColWidth="11.88671875" defaultRowHeight="14.4" x14ac:dyDescent="0.3"/>
  <cols>
    <col min="1" max="1" width="6" bestFit="1" customWidth="1"/>
    <col min="2" max="2" width="13.88671875" bestFit="1" customWidth="1"/>
    <col min="3" max="3" width="9.109375" bestFit="1" customWidth="1"/>
    <col min="4" max="4" width="9.3320312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38</v>
      </c>
      <c r="C1" t="s">
        <v>2</v>
      </c>
      <c r="D1" s="3" t="s">
        <v>3</v>
      </c>
      <c r="E1" t="s">
        <v>4</v>
      </c>
      <c r="F1" t="s">
        <v>5</v>
      </c>
      <c r="G1" t="s">
        <v>6</v>
      </c>
      <c r="H1" t="s">
        <v>7</v>
      </c>
      <c r="I1" t="s">
        <v>8</v>
      </c>
      <c r="J1" t="s">
        <v>9</v>
      </c>
      <c r="K1" t="s">
        <v>10</v>
      </c>
      <c r="L1" t="s">
        <v>11</v>
      </c>
      <c r="M1" t="s">
        <v>41</v>
      </c>
      <c r="N1" t="s">
        <v>12</v>
      </c>
    </row>
    <row r="2" spans="1:14" x14ac:dyDescent="0.3">
      <c r="A2">
        <v>12496</v>
      </c>
      <c r="B2" t="s">
        <v>36</v>
      </c>
      <c r="C2" t="s">
        <v>40</v>
      </c>
      <c r="D2" s="3">
        <v>40000</v>
      </c>
      <c r="E2">
        <v>1</v>
      </c>
      <c r="F2" t="s">
        <v>13</v>
      </c>
      <c r="G2" t="s">
        <v>14</v>
      </c>
      <c r="H2" t="s">
        <v>15</v>
      </c>
      <c r="I2">
        <v>0</v>
      </c>
      <c r="J2" t="s">
        <v>16</v>
      </c>
      <c r="K2" t="s">
        <v>17</v>
      </c>
      <c r="L2">
        <v>42</v>
      </c>
      <c r="M2" t="str">
        <f>IF(L2&gt;54,"old",IF(L2&gt;=31,"Middle Aged",IF(L2&lt;31,"Adolescent","Invalid")))</f>
        <v>Middle Aged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40</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40</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40</v>
      </c>
      <c r="D13" s="3">
        <v>90000</v>
      </c>
      <c r="E13">
        <v>0</v>
      </c>
      <c r="F13" t="s">
        <v>13</v>
      </c>
      <c r="G13" t="s">
        <v>21</v>
      </c>
      <c r="H13" t="s">
        <v>18</v>
      </c>
      <c r="I13">
        <v>4</v>
      </c>
      <c r="J13" t="s">
        <v>47</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40</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40</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40</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40</v>
      </c>
      <c r="D23" s="3">
        <v>80000</v>
      </c>
      <c r="E23">
        <v>0</v>
      </c>
      <c r="F23" t="s">
        <v>13</v>
      </c>
      <c r="G23" t="s">
        <v>21</v>
      </c>
      <c r="H23" t="s">
        <v>15</v>
      </c>
      <c r="I23">
        <v>4</v>
      </c>
      <c r="J23" t="s">
        <v>47</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40</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40</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40</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40</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40</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40</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40</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40</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40</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40</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40</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40</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40</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40</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40</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40</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40</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40</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Aged</v>
      </c>
      <c r="N53" t="s">
        <v>18</v>
      </c>
    </row>
    <row r="54" spans="1:14" x14ac:dyDescent="0.3">
      <c r="A54">
        <v>12558</v>
      </c>
      <c r="B54" t="s">
        <v>36</v>
      </c>
      <c r="C54" t="s">
        <v>40</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40</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40</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40</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40</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40</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Aged</v>
      </c>
      <c r="N65" t="s">
        <v>18</v>
      </c>
    </row>
    <row r="66" spans="1:14" x14ac:dyDescent="0.3">
      <c r="A66">
        <v>14927</v>
      </c>
      <c r="B66" t="s">
        <v>36</v>
      </c>
      <c r="C66" t="s">
        <v>40</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3">
      <c r="A68">
        <v>29355</v>
      </c>
      <c r="B68" t="s">
        <v>36</v>
      </c>
      <c r="C68" t="s">
        <v>40</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40</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40</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Aged</v>
      </c>
      <c r="N72" t="s">
        <v>15</v>
      </c>
    </row>
    <row r="73" spans="1:14" x14ac:dyDescent="0.3">
      <c r="A73">
        <v>16200</v>
      </c>
      <c r="B73" t="s">
        <v>37</v>
      </c>
      <c r="C73" t="s">
        <v>40</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40</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40</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40</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40</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40</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40</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40</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40</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40</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40</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40</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40</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40</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40</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40</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40</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40</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40</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40</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40</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40</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40</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40</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40</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40</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40</v>
      </c>
      <c r="D124" s="3">
        <v>80000</v>
      </c>
      <c r="E124">
        <v>0</v>
      </c>
      <c r="F124" t="s">
        <v>13</v>
      </c>
      <c r="G124" t="s">
        <v>21</v>
      </c>
      <c r="H124" t="s">
        <v>18</v>
      </c>
      <c r="I124">
        <v>3</v>
      </c>
      <c r="J124" t="s">
        <v>47</v>
      </c>
      <c r="K124" t="s">
        <v>24</v>
      </c>
      <c r="L124">
        <v>31</v>
      </c>
      <c r="M124" t="str">
        <f t="shared" si="1"/>
        <v>Middle Aged</v>
      </c>
      <c r="N124" t="s">
        <v>18</v>
      </c>
    </row>
    <row r="125" spans="1:14" x14ac:dyDescent="0.3">
      <c r="A125">
        <v>23627</v>
      </c>
      <c r="B125" t="s">
        <v>37</v>
      </c>
      <c r="C125" t="s">
        <v>40</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40</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40</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40</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40</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40</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40</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40</v>
      </c>
      <c r="D145" s="3">
        <v>80000</v>
      </c>
      <c r="E145">
        <v>0</v>
      </c>
      <c r="F145" t="s">
        <v>13</v>
      </c>
      <c r="G145" t="s">
        <v>21</v>
      </c>
      <c r="H145" t="s">
        <v>15</v>
      </c>
      <c r="I145">
        <v>3</v>
      </c>
      <c r="J145" t="s">
        <v>47</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40</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40</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40</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40</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40</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40</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40</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40</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40</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40</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40</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40</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40</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40</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40</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40</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40</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40</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40</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40</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40</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40</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40</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40</v>
      </c>
      <c r="D190" s="3">
        <v>70000</v>
      </c>
      <c r="E190">
        <v>0</v>
      </c>
      <c r="F190" t="s">
        <v>13</v>
      </c>
      <c r="G190" t="s">
        <v>21</v>
      </c>
      <c r="H190" t="s">
        <v>15</v>
      </c>
      <c r="I190">
        <v>4</v>
      </c>
      <c r="J190" t="s">
        <v>47</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40</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40</v>
      </c>
      <c r="D195" s="3">
        <v>70000</v>
      </c>
      <c r="E195">
        <v>5</v>
      </c>
      <c r="F195" t="s">
        <v>13</v>
      </c>
      <c r="G195" t="s">
        <v>21</v>
      </c>
      <c r="H195" t="s">
        <v>15</v>
      </c>
      <c r="I195">
        <v>4</v>
      </c>
      <c r="J195" t="s">
        <v>47</v>
      </c>
      <c r="K195" t="s">
        <v>24</v>
      </c>
      <c r="L195">
        <v>41</v>
      </c>
      <c r="M195" t="str">
        <f t="shared" ref="M195:M258" si="3">IF(L195&gt;54,"old",IF(L195&gt;=31,"Middle Aged",IF(L195&lt;31,"Adolescent","Invalid")))</f>
        <v>Middle Aged</v>
      </c>
      <c r="N195" t="s">
        <v>18</v>
      </c>
    </row>
    <row r="196" spans="1:14" x14ac:dyDescent="0.3">
      <c r="A196">
        <v>17843</v>
      </c>
      <c r="B196" t="s">
        <v>37</v>
      </c>
      <c r="C196" t="s">
        <v>40</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40</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40</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40</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40</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40</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40</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40</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40</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40</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40</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40</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40</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40</v>
      </c>
      <c r="D225" s="3">
        <v>70000</v>
      </c>
      <c r="E225">
        <v>5</v>
      </c>
      <c r="F225" t="s">
        <v>13</v>
      </c>
      <c r="G225" t="s">
        <v>21</v>
      </c>
      <c r="H225" t="s">
        <v>15</v>
      </c>
      <c r="I225">
        <v>4</v>
      </c>
      <c r="J225" t="s">
        <v>47</v>
      </c>
      <c r="K225" t="s">
        <v>24</v>
      </c>
      <c r="L225">
        <v>39</v>
      </c>
      <c r="M225" t="str">
        <f t="shared" si="3"/>
        <v>Middle Aged</v>
      </c>
      <c r="N225" t="s">
        <v>18</v>
      </c>
    </row>
    <row r="226" spans="1:14" x14ac:dyDescent="0.3">
      <c r="A226">
        <v>19650</v>
      </c>
      <c r="B226" t="s">
        <v>36</v>
      </c>
      <c r="C226" t="s">
        <v>40</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40</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40</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40</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40</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Aged</v>
      </c>
      <c r="N236" t="s">
        <v>15</v>
      </c>
    </row>
    <row r="237" spans="1:14" x14ac:dyDescent="0.3">
      <c r="A237">
        <v>11340</v>
      </c>
      <c r="B237" t="s">
        <v>36</v>
      </c>
      <c r="C237" t="s">
        <v>40</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40</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40</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40</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40</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40</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40</v>
      </c>
      <c r="D246" s="3">
        <v>120000</v>
      </c>
      <c r="E246">
        <v>3</v>
      </c>
      <c r="F246" t="s">
        <v>13</v>
      </c>
      <c r="G246" t="s">
        <v>28</v>
      </c>
      <c r="H246" t="s">
        <v>18</v>
      </c>
      <c r="I246">
        <v>2</v>
      </c>
      <c r="J246" t="s">
        <v>47</v>
      </c>
      <c r="K246" t="s">
        <v>17</v>
      </c>
      <c r="L246">
        <v>52</v>
      </c>
      <c r="M246" t="str">
        <f t="shared" si="3"/>
        <v>Middle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40</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40</v>
      </c>
      <c r="D249" s="3">
        <v>100000</v>
      </c>
      <c r="E249">
        <v>0</v>
      </c>
      <c r="F249" t="s">
        <v>27</v>
      </c>
      <c r="G249" t="s">
        <v>28</v>
      </c>
      <c r="H249" t="s">
        <v>15</v>
      </c>
      <c r="I249">
        <v>4</v>
      </c>
      <c r="J249" t="s">
        <v>47</v>
      </c>
      <c r="K249" t="s">
        <v>24</v>
      </c>
      <c r="L249">
        <v>34</v>
      </c>
      <c r="M249" t="str">
        <f t="shared" si="3"/>
        <v>Middle Aged</v>
      </c>
      <c r="N249" t="s">
        <v>15</v>
      </c>
    </row>
    <row r="250" spans="1:14" x14ac:dyDescent="0.3">
      <c r="A250">
        <v>13981</v>
      </c>
      <c r="B250" t="s">
        <v>36</v>
      </c>
      <c r="C250" t="s">
        <v>40</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40</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40</v>
      </c>
      <c r="D259" s="3">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3">
      <c r="A260">
        <v>14193</v>
      </c>
      <c r="B260" t="s">
        <v>37</v>
      </c>
      <c r="C260" t="s">
        <v>40</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40</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40</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40</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40</v>
      </c>
      <c r="D265" s="3">
        <v>70000</v>
      </c>
      <c r="E265">
        <v>5</v>
      </c>
      <c r="F265" t="s">
        <v>13</v>
      </c>
      <c r="G265" t="s">
        <v>21</v>
      </c>
      <c r="H265" t="s">
        <v>15</v>
      </c>
      <c r="I265">
        <v>3</v>
      </c>
      <c r="J265" t="s">
        <v>47</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40</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40</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40</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40</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40</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40</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40</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40</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40</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40</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40</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40</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40</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40</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40</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40</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40</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40</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40</v>
      </c>
      <c r="D297" s="3">
        <v>110000</v>
      </c>
      <c r="E297">
        <v>0</v>
      </c>
      <c r="F297" t="s">
        <v>19</v>
      </c>
      <c r="G297" t="s">
        <v>28</v>
      </c>
      <c r="H297" t="s">
        <v>15</v>
      </c>
      <c r="I297">
        <v>3</v>
      </c>
      <c r="J297" t="s">
        <v>47</v>
      </c>
      <c r="K297" t="s">
        <v>24</v>
      </c>
      <c r="L297">
        <v>32</v>
      </c>
      <c r="M297" t="str">
        <f t="shared" si="4"/>
        <v>Middle Aged</v>
      </c>
      <c r="N297" t="s">
        <v>15</v>
      </c>
    </row>
    <row r="298" spans="1:14" x14ac:dyDescent="0.3">
      <c r="A298">
        <v>26663</v>
      </c>
      <c r="B298" t="s">
        <v>37</v>
      </c>
      <c r="C298" t="s">
        <v>40</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40</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40</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40</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40</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40</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40</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Aged</v>
      </c>
      <c r="N320" t="s">
        <v>18</v>
      </c>
    </row>
    <row r="321" spans="1:14" x14ac:dyDescent="0.3">
      <c r="A321">
        <v>11386</v>
      </c>
      <c r="B321" t="s">
        <v>36</v>
      </c>
      <c r="C321" t="s">
        <v>40</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40</v>
      </c>
      <c r="D323" s="3">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3">
      <c r="A324">
        <v>16410</v>
      </c>
      <c r="B324" t="s">
        <v>37</v>
      </c>
      <c r="C324" t="s">
        <v>40</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40</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40</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40</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40</v>
      </c>
      <c r="D332" s="3">
        <v>80000</v>
      </c>
      <c r="E332">
        <v>0</v>
      </c>
      <c r="F332" t="s">
        <v>13</v>
      </c>
      <c r="G332" t="s">
        <v>21</v>
      </c>
      <c r="H332" t="s">
        <v>15</v>
      </c>
      <c r="I332">
        <v>3</v>
      </c>
      <c r="J332" t="s">
        <v>47</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40</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40</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40</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40</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40</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40</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40</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40</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Aged</v>
      </c>
      <c r="N357" t="s">
        <v>18</v>
      </c>
    </row>
    <row r="358" spans="1:14" x14ac:dyDescent="0.3">
      <c r="A358">
        <v>23608</v>
      </c>
      <c r="B358" t="s">
        <v>36</v>
      </c>
      <c r="C358" t="s">
        <v>40</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40</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40</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40</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40</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40</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40</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40</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40</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40</v>
      </c>
      <c r="D372" s="3">
        <v>100000</v>
      </c>
      <c r="E372">
        <v>4</v>
      </c>
      <c r="F372" t="s">
        <v>13</v>
      </c>
      <c r="G372" t="s">
        <v>21</v>
      </c>
      <c r="H372" t="s">
        <v>15</v>
      </c>
      <c r="I372">
        <v>1</v>
      </c>
      <c r="J372" t="s">
        <v>47</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40</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40</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40</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40</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3">
      <c r="A388">
        <v>28957</v>
      </c>
      <c r="B388" t="s">
        <v>37</v>
      </c>
      <c r="C388" t="s">
        <v>40</v>
      </c>
      <c r="D388" s="3">
        <v>120000</v>
      </c>
      <c r="E388">
        <v>0</v>
      </c>
      <c r="F388" t="s">
        <v>29</v>
      </c>
      <c r="G388" t="s">
        <v>21</v>
      </c>
      <c r="H388" t="s">
        <v>15</v>
      </c>
      <c r="I388">
        <v>4</v>
      </c>
      <c r="J388" t="s">
        <v>47</v>
      </c>
      <c r="K388" t="s">
        <v>24</v>
      </c>
      <c r="L388">
        <v>34</v>
      </c>
      <c r="M388" t="str">
        <f t="shared" si="6"/>
        <v>Middle Aged</v>
      </c>
      <c r="N388" t="s">
        <v>15</v>
      </c>
    </row>
    <row r="389" spans="1:14" x14ac:dyDescent="0.3">
      <c r="A389">
        <v>13690</v>
      </c>
      <c r="B389" t="s">
        <v>37</v>
      </c>
      <c r="C389" t="s">
        <v>40</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40</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40</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40</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40</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40</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40</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40</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40</v>
      </c>
      <c r="D402" s="3">
        <v>110000</v>
      </c>
      <c r="E402">
        <v>3</v>
      </c>
      <c r="F402" t="s">
        <v>13</v>
      </c>
      <c r="G402" t="s">
        <v>28</v>
      </c>
      <c r="H402" t="s">
        <v>15</v>
      </c>
      <c r="I402">
        <v>4</v>
      </c>
      <c r="J402" t="s">
        <v>47</v>
      </c>
      <c r="K402" t="s">
        <v>17</v>
      </c>
      <c r="L402">
        <v>53</v>
      </c>
      <c r="M402" t="str">
        <f t="shared" si="6"/>
        <v>Middle Aged</v>
      </c>
      <c r="N402" t="s">
        <v>18</v>
      </c>
    </row>
    <row r="403" spans="1:14" x14ac:dyDescent="0.3">
      <c r="A403">
        <v>11555</v>
      </c>
      <c r="B403" t="s">
        <v>36</v>
      </c>
      <c r="C403" t="s">
        <v>40</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40</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40</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40</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40</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40</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40</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40</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40</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40</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40</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40</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40</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40</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40</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40</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40</v>
      </c>
      <c r="D434" s="3">
        <v>110000</v>
      </c>
      <c r="E434">
        <v>0</v>
      </c>
      <c r="F434" t="s">
        <v>27</v>
      </c>
      <c r="G434" t="s">
        <v>28</v>
      </c>
      <c r="H434" t="s">
        <v>15</v>
      </c>
      <c r="I434">
        <v>3</v>
      </c>
      <c r="J434" t="s">
        <v>47</v>
      </c>
      <c r="K434" t="s">
        <v>24</v>
      </c>
      <c r="L434">
        <v>34</v>
      </c>
      <c r="M434" t="str">
        <f t="shared" si="6"/>
        <v>Middle Aged</v>
      </c>
      <c r="N434" t="s">
        <v>15</v>
      </c>
    </row>
    <row r="435" spans="1:14" x14ac:dyDescent="0.3">
      <c r="A435">
        <v>27814</v>
      </c>
      <c r="B435" t="s">
        <v>37</v>
      </c>
      <c r="C435" t="s">
        <v>40</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40</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40</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40</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40</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40</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40</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40</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40</v>
      </c>
      <c r="D448" s="3">
        <v>130000</v>
      </c>
      <c r="E448">
        <v>0</v>
      </c>
      <c r="F448" t="s">
        <v>31</v>
      </c>
      <c r="G448" t="s">
        <v>28</v>
      </c>
      <c r="H448" t="s">
        <v>15</v>
      </c>
      <c r="I448">
        <v>1</v>
      </c>
      <c r="J448" t="s">
        <v>47</v>
      </c>
      <c r="K448" t="s">
        <v>24</v>
      </c>
      <c r="L448">
        <v>48</v>
      </c>
      <c r="M448" t="str">
        <f t="shared" si="6"/>
        <v>Middle Aged</v>
      </c>
      <c r="N448" t="s">
        <v>18</v>
      </c>
    </row>
    <row r="449" spans="1:14" x14ac:dyDescent="0.3">
      <c r="A449">
        <v>20711</v>
      </c>
      <c r="B449" t="s">
        <v>36</v>
      </c>
      <c r="C449" t="s">
        <v>40</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40</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40</v>
      </c>
      <c r="D451" s="3">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3">
      <c r="A452">
        <v>16559</v>
      </c>
      <c r="B452" t="s">
        <v>37</v>
      </c>
      <c r="C452" t="s">
        <v>40</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40</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40</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40</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40</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40</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Aged</v>
      </c>
      <c r="N460" t="s">
        <v>15</v>
      </c>
    </row>
    <row r="461" spans="1:14" x14ac:dyDescent="0.3">
      <c r="A461">
        <v>21554</v>
      </c>
      <c r="B461" t="s">
        <v>37</v>
      </c>
      <c r="C461" t="s">
        <v>40</v>
      </c>
      <c r="D461" s="3">
        <v>80000</v>
      </c>
      <c r="E461">
        <v>0</v>
      </c>
      <c r="F461" t="s">
        <v>13</v>
      </c>
      <c r="G461" t="s">
        <v>21</v>
      </c>
      <c r="H461" t="s">
        <v>18</v>
      </c>
      <c r="I461">
        <v>3</v>
      </c>
      <c r="J461" t="s">
        <v>47</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40</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40</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40</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40</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40</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40</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40</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40</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40</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40</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40</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40</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40</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40</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40</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40</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40</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40</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40</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40</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40</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40</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40</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40</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40</v>
      </c>
      <c r="D515" s="3">
        <v>60000</v>
      </c>
      <c r="E515">
        <v>4</v>
      </c>
      <c r="F515" t="s">
        <v>31</v>
      </c>
      <c r="G515" t="s">
        <v>28</v>
      </c>
      <c r="H515" t="s">
        <v>15</v>
      </c>
      <c r="I515">
        <v>2</v>
      </c>
      <c r="J515" t="s">
        <v>47</v>
      </c>
      <c r="K515" t="s">
        <v>32</v>
      </c>
      <c r="L515">
        <v>61</v>
      </c>
      <c r="M515" t="str">
        <f t="shared" ref="M515:M578" si="8">IF(L515&gt;54,"old",IF(L515&gt;=31,"Middle Aged",IF(L515&lt;31,"Adolescent","Invalid")))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40</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40</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40</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40</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40</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40</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40</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Aged</v>
      </c>
      <c r="N537" t="s">
        <v>18</v>
      </c>
    </row>
    <row r="538" spans="1:14" x14ac:dyDescent="0.3">
      <c r="A538">
        <v>13907</v>
      </c>
      <c r="B538" t="s">
        <v>37</v>
      </c>
      <c r="C538" t="s">
        <v>40</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40</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40</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40</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40</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40</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40</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40</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40</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40</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40</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40</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40</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40</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40</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40</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40</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40</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40</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40</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40</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40</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40</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40</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40</v>
      </c>
      <c r="D590" s="3">
        <v>90000</v>
      </c>
      <c r="E590">
        <v>2</v>
      </c>
      <c r="F590" t="s">
        <v>27</v>
      </c>
      <c r="G590" t="s">
        <v>21</v>
      </c>
      <c r="H590" t="s">
        <v>15</v>
      </c>
      <c r="I590">
        <v>1</v>
      </c>
      <c r="J590" t="s">
        <v>47</v>
      </c>
      <c r="K590" t="s">
        <v>32</v>
      </c>
      <c r="L590">
        <v>51</v>
      </c>
      <c r="M590" t="str">
        <f t="shared" si="9"/>
        <v>Middle Aged</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40</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40</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40</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40</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40</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40</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40</v>
      </c>
      <c r="D609" s="3">
        <v>70000</v>
      </c>
      <c r="E609">
        <v>5</v>
      </c>
      <c r="F609" t="s">
        <v>31</v>
      </c>
      <c r="G609" t="s">
        <v>21</v>
      </c>
      <c r="H609" t="s">
        <v>15</v>
      </c>
      <c r="I609">
        <v>3</v>
      </c>
      <c r="J609" t="s">
        <v>47</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40</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40</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40</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40</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40</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40</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40</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40</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40</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40</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40</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40</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40</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40</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40</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40</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40</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40</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Aged",IF(L643&lt;31,"Adolescent","Invalid")))</f>
        <v>old</v>
      </c>
      <c r="N643" t="s">
        <v>18</v>
      </c>
    </row>
    <row r="644" spans="1:14" x14ac:dyDescent="0.3">
      <c r="A644">
        <v>21741</v>
      </c>
      <c r="B644" t="s">
        <v>36</v>
      </c>
      <c r="C644" t="s">
        <v>40</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40</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40</v>
      </c>
      <c r="D646" s="3">
        <v>60000</v>
      </c>
      <c r="E646">
        <v>5</v>
      </c>
      <c r="F646" t="s">
        <v>13</v>
      </c>
      <c r="G646" t="s">
        <v>14</v>
      </c>
      <c r="H646" t="s">
        <v>15</v>
      </c>
      <c r="I646">
        <v>3</v>
      </c>
      <c r="J646" t="s">
        <v>47</v>
      </c>
      <c r="K646" t="s">
        <v>32</v>
      </c>
      <c r="L646">
        <v>41</v>
      </c>
      <c r="M646" t="str">
        <f t="shared" si="10"/>
        <v>Middle Aged</v>
      </c>
      <c r="N646" t="s">
        <v>18</v>
      </c>
    </row>
    <row r="647" spans="1:14" x14ac:dyDescent="0.3">
      <c r="A647">
        <v>16217</v>
      </c>
      <c r="B647" t="s">
        <v>37</v>
      </c>
      <c r="C647" t="s">
        <v>40</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40</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40</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40</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40</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40</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40</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40</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40</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40</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40</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40</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40</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40</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40</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40</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40</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40</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40</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40</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40</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40</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40</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40</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40</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40</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40</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40</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40</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40</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40</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40</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40</v>
      </c>
      <c r="D707" s="3">
        <v>70000</v>
      </c>
      <c r="E707">
        <v>4</v>
      </c>
      <c r="F707" t="s">
        <v>13</v>
      </c>
      <c r="G707" t="s">
        <v>28</v>
      </c>
      <c r="H707" t="s">
        <v>15</v>
      </c>
      <c r="I707">
        <v>1</v>
      </c>
      <c r="J707" t="s">
        <v>47</v>
      </c>
      <c r="K707" t="s">
        <v>32</v>
      </c>
      <c r="L707">
        <v>59</v>
      </c>
      <c r="M707" t="str">
        <f t="shared" ref="M707:M770" si="11">IF(L707&gt;54,"old",IF(L707&gt;=31,"Middle Aged",IF(L707&lt;31,"Adolescent","Invalid")))</f>
        <v>old</v>
      </c>
      <c r="N707" t="s">
        <v>18</v>
      </c>
    </row>
    <row r="708" spans="1:14" x14ac:dyDescent="0.3">
      <c r="A708">
        <v>20296</v>
      </c>
      <c r="B708" t="s">
        <v>37</v>
      </c>
      <c r="C708" t="s">
        <v>40</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40</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40</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40</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40</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40</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40</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40</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40</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40</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40</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40</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40</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40</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40</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40</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40</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40</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40</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40</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40</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40</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40</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40</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40</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40</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40</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40</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40</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40</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40</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Aged</v>
      </c>
      <c r="N768" t="s">
        <v>18</v>
      </c>
    </row>
    <row r="769" spans="1:14" x14ac:dyDescent="0.3">
      <c r="A769">
        <v>24979</v>
      </c>
      <c r="B769" t="s">
        <v>36</v>
      </c>
      <c r="C769" t="s">
        <v>40</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40</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40</v>
      </c>
      <c r="D771" s="3">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40</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40</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40</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40</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40</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40</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40</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40</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40</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40</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40</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40</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40</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40</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40</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40</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40</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40</v>
      </c>
      <c r="D815" s="3">
        <v>70000</v>
      </c>
      <c r="E815">
        <v>2</v>
      </c>
      <c r="F815" t="s">
        <v>27</v>
      </c>
      <c r="G815" t="s">
        <v>21</v>
      </c>
      <c r="H815" t="s">
        <v>15</v>
      </c>
      <c r="I815">
        <v>2</v>
      </c>
      <c r="J815" t="s">
        <v>47</v>
      </c>
      <c r="K815" t="s">
        <v>32</v>
      </c>
      <c r="L815">
        <v>53</v>
      </c>
      <c r="M815" t="str">
        <f t="shared" si="12"/>
        <v>Middle Aged</v>
      </c>
      <c r="N815" t="s">
        <v>18</v>
      </c>
    </row>
    <row r="816" spans="1:14" x14ac:dyDescent="0.3">
      <c r="A816">
        <v>13351</v>
      </c>
      <c r="B816" t="s">
        <v>37</v>
      </c>
      <c r="C816" t="s">
        <v>40</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40</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40</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40</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40</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40</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40</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40</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40</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40</v>
      </c>
      <c r="D835" s="3">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3">
      <c r="A836">
        <v>19889</v>
      </c>
      <c r="B836" t="s">
        <v>37</v>
      </c>
      <c r="C836" t="s">
        <v>40</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40</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40</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40</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40</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40</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40</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40</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40</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40</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40</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40</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40</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40</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40</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40</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40</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40</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40</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40</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40</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40</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40</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40</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40</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40</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40</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40</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40</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40</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40</v>
      </c>
      <c r="D901" s="3">
        <v>70000</v>
      </c>
      <c r="E901">
        <v>5</v>
      </c>
      <c r="F901" t="s">
        <v>31</v>
      </c>
      <c r="G901" t="s">
        <v>21</v>
      </c>
      <c r="H901" t="s">
        <v>15</v>
      </c>
      <c r="I901">
        <v>3</v>
      </c>
      <c r="J901" t="s">
        <v>47</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40</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40</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40</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40</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40</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40</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40</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40</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40</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40</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40</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Aged</v>
      </c>
      <c r="N932" t="s">
        <v>18</v>
      </c>
    </row>
    <row r="933" spans="1:14" x14ac:dyDescent="0.3">
      <c r="A933">
        <v>14914</v>
      </c>
      <c r="B933" t="s">
        <v>36</v>
      </c>
      <c r="C933" t="s">
        <v>40</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40</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40</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40</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40</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40</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40</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40</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40</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40</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40</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40</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40</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Aged</v>
      </c>
      <c r="N951" t="s">
        <v>18</v>
      </c>
    </row>
    <row r="952" spans="1:14" x14ac:dyDescent="0.3">
      <c r="A952">
        <v>11788</v>
      </c>
      <c r="B952" t="s">
        <v>37</v>
      </c>
      <c r="C952" t="s">
        <v>40</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40</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40</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40</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40</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40</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40</v>
      </c>
      <c r="D963" s="3">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40</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40</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40</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40</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40</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40</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40</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40</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40</v>
      </c>
      <c r="D982" s="3">
        <v>80000</v>
      </c>
      <c r="E982">
        <v>3</v>
      </c>
      <c r="F982" t="s">
        <v>13</v>
      </c>
      <c r="G982" t="s">
        <v>14</v>
      </c>
      <c r="H982" t="s">
        <v>15</v>
      </c>
      <c r="I982">
        <v>3</v>
      </c>
      <c r="J982" t="s">
        <v>47</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40</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40</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Aged</v>
      </c>
      <c r="N991" t="s">
        <v>18</v>
      </c>
    </row>
    <row r="992" spans="1:14" x14ac:dyDescent="0.3">
      <c r="A992">
        <v>14332</v>
      </c>
      <c r="B992" t="s">
        <v>37</v>
      </c>
      <c r="C992" t="s">
        <v>40</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40</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Aged</v>
      </c>
      <c r="N1001" t="s">
        <v>15</v>
      </c>
    </row>
  </sheetData>
  <autoFilter ref="A1:N1001" xr:uid="{2E7A08FC-4F32-45C7-B559-82CC445B050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FB3F6-73C3-493F-95C4-F1F0E98FA1CE}">
  <dimension ref="A3:D123"/>
  <sheetViews>
    <sheetView zoomScale="69" zoomScaleNormal="69" workbookViewId="0">
      <selection activeCell="J9" sqref="J9"/>
    </sheetView>
  </sheetViews>
  <sheetFormatPr defaultRowHeight="14.4" x14ac:dyDescent="0.3"/>
  <cols>
    <col min="1" max="1" width="22.6640625" bestFit="1" customWidth="1"/>
    <col min="2" max="2" width="17" bestFit="1" customWidth="1"/>
    <col min="3" max="3" width="4.109375" bestFit="1" customWidth="1"/>
    <col min="4" max="4" width="11.21875" bestFit="1" customWidth="1"/>
  </cols>
  <sheetData>
    <row r="3" spans="1:4" x14ac:dyDescent="0.3">
      <c r="A3" s="4" t="s">
        <v>44</v>
      </c>
      <c r="B3" s="4" t="s">
        <v>45</v>
      </c>
    </row>
    <row r="4" spans="1:4" x14ac:dyDescent="0.3">
      <c r="A4" s="4" t="s">
        <v>42</v>
      </c>
      <c r="B4" t="s">
        <v>18</v>
      </c>
      <c r="C4" t="s">
        <v>15</v>
      </c>
      <c r="D4" t="s">
        <v>43</v>
      </c>
    </row>
    <row r="5" spans="1:4" x14ac:dyDescent="0.3">
      <c r="A5" s="5" t="s">
        <v>40</v>
      </c>
      <c r="B5" s="3">
        <v>39375</v>
      </c>
      <c r="C5" s="3">
        <v>40000</v>
      </c>
      <c r="D5" s="3">
        <v>39705.882352941175</v>
      </c>
    </row>
    <row r="6" spans="1:4" x14ac:dyDescent="0.3">
      <c r="A6" s="5" t="s">
        <v>39</v>
      </c>
      <c r="B6" s="3">
        <v>40000</v>
      </c>
      <c r="C6" s="3">
        <v>35294.117647058825</v>
      </c>
      <c r="D6" s="3">
        <v>36800</v>
      </c>
    </row>
    <row r="7" spans="1:4" x14ac:dyDescent="0.3">
      <c r="A7" s="5" t="s">
        <v>43</v>
      </c>
      <c r="B7" s="3">
        <v>39583.333333333336</v>
      </c>
      <c r="C7" s="3">
        <v>37714.285714285717</v>
      </c>
      <c r="D7" s="3">
        <v>38474.576271186437</v>
      </c>
    </row>
    <row r="35" spans="1:4" x14ac:dyDescent="0.3">
      <c r="A35" s="4" t="s">
        <v>46</v>
      </c>
      <c r="B35" s="4" t="s">
        <v>45</v>
      </c>
    </row>
    <row r="36" spans="1:4" x14ac:dyDescent="0.3">
      <c r="A36" s="4" t="s">
        <v>42</v>
      </c>
      <c r="B36" t="s">
        <v>18</v>
      </c>
      <c r="C36" t="s">
        <v>15</v>
      </c>
      <c r="D36" t="s">
        <v>43</v>
      </c>
    </row>
    <row r="37" spans="1:4" x14ac:dyDescent="0.3">
      <c r="A37" s="5" t="s">
        <v>16</v>
      </c>
      <c r="B37" s="11">
        <v>19</v>
      </c>
      <c r="C37" s="11">
        <v>31</v>
      </c>
      <c r="D37" s="11">
        <v>50</v>
      </c>
    </row>
    <row r="38" spans="1:4" x14ac:dyDescent="0.3">
      <c r="A38" s="5" t="s">
        <v>26</v>
      </c>
      <c r="B38" s="11"/>
      <c r="C38" s="11">
        <v>3</v>
      </c>
      <c r="D38" s="11">
        <v>3</v>
      </c>
    </row>
    <row r="39" spans="1:4" x14ac:dyDescent="0.3">
      <c r="A39" s="5" t="s">
        <v>22</v>
      </c>
      <c r="B39" s="11">
        <v>4</v>
      </c>
      <c r="C39" s="11"/>
      <c r="D39" s="11">
        <v>4</v>
      </c>
    </row>
    <row r="40" spans="1:4" x14ac:dyDescent="0.3">
      <c r="A40" s="5" t="s">
        <v>47</v>
      </c>
      <c r="B40" s="11">
        <v>1</v>
      </c>
      <c r="C40" s="11">
        <v>1</v>
      </c>
      <c r="D40" s="11">
        <v>2</v>
      </c>
    </row>
    <row r="41" spans="1:4" x14ac:dyDescent="0.3">
      <c r="A41" s="5" t="s">
        <v>43</v>
      </c>
      <c r="B41" s="11">
        <v>24</v>
      </c>
      <c r="C41" s="11">
        <v>35</v>
      </c>
      <c r="D41" s="11">
        <v>59</v>
      </c>
    </row>
    <row r="70" spans="1:4" x14ac:dyDescent="0.3">
      <c r="A70" s="4" t="s">
        <v>46</v>
      </c>
      <c r="B70" s="4" t="s">
        <v>45</v>
      </c>
    </row>
    <row r="71" spans="1:4" x14ac:dyDescent="0.3">
      <c r="A71" s="4" t="s">
        <v>42</v>
      </c>
      <c r="B71" t="s">
        <v>18</v>
      </c>
      <c r="C71" t="s">
        <v>15</v>
      </c>
      <c r="D71" t="s">
        <v>43</v>
      </c>
    </row>
    <row r="72" spans="1:4" x14ac:dyDescent="0.3">
      <c r="A72" s="5" t="s">
        <v>48</v>
      </c>
      <c r="B72" s="11">
        <v>13</v>
      </c>
      <c r="C72" s="11">
        <v>32</v>
      </c>
      <c r="D72" s="11">
        <v>45</v>
      </c>
    </row>
    <row r="73" spans="1:4" x14ac:dyDescent="0.3">
      <c r="A73" s="5" t="s">
        <v>49</v>
      </c>
      <c r="B73" s="11">
        <v>11</v>
      </c>
      <c r="C73" s="11">
        <v>3</v>
      </c>
      <c r="D73" s="11">
        <v>14</v>
      </c>
    </row>
    <row r="74" spans="1:4" x14ac:dyDescent="0.3">
      <c r="A74" s="5" t="s">
        <v>43</v>
      </c>
      <c r="B74" s="11">
        <v>24</v>
      </c>
      <c r="C74" s="11">
        <v>35</v>
      </c>
      <c r="D74" s="11">
        <v>59</v>
      </c>
    </row>
    <row r="96" spans="1:2" x14ac:dyDescent="0.3">
      <c r="A96" s="4" t="s">
        <v>46</v>
      </c>
      <c r="B96" s="4" t="s">
        <v>45</v>
      </c>
    </row>
    <row r="97" spans="1:4" x14ac:dyDescent="0.3">
      <c r="A97" s="4" t="s">
        <v>42</v>
      </c>
      <c r="B97" t="s">
        <v>18</v>
      </c>
      <c r="C97" t="s">
        <v>15</v>
      </c>
      <c r="D97" t="s">
        <v>43</v>
      </c>
    </row>
    <row r="98" spans="1:4" x14ac:dyDescent="0.3">
      <c r="A98" s="5">
        <v>32</v>
      </c>
      <c r="B98" s="11"/>
      <c r="C98" s="11">
        <v>3</v>
      </c>
      <c r="D98" s="11">
        <v>3</v>
      </c>
    </row>
    <row r="99" spans="1:4" x14ac:dyDescent="0.3">
      <c r="A99" s="5">
        <v>33</v>
      </c>
      <c r="B99" s="11"/>
      <c r="C99" s="11">
        <v>2</v>
      </c>
      <c r="D99" s="11">
        <v>2</v>
      </c>
    </row>
    <row r="100" spans="1:4" x14ac:dyDescent="0.3">
      <c r="A100" s="5">
        <v>35</v>
      </c>
      <c r="B100" s="11"/>
      <c r="C100" s="11">
        <v>2</v>
      </c>
      <c r="D100" s="11">
        <v>2</v>
      </c>
    </row>
    <row r="101" spans="1:4" x14ac:dyDescent="0.3">
      <c r="A101" s="5">
        <v>36</v>
      </c>
      <c r="B101" s="11"/>
      <c r="C101" s="11">
        <v>1</v>
      </c>
      <c r="D101" s="11">
        <v>1</v>
      </c>
    </row>
    <row r="102" spans="1:4" x14ac:dyDescent="0.3">
      <c r="A102" s="5">
        <v>37</v>
      </c>
      <c r="B102" s="11"/>
      <c r="C102" s="11">
        <v>2</v>
      </c>
      <c r="D102" s="11">
        <v>2</v>
      </c>
    </row>
    <row r="103" spans="1:4" x14ac:dyDescent="0.3">
      <c r="A103" s="5">
        <v>38</v>
      </c>
      <c r="B103" s="11"/>
      <c r="C103" s="11">
        <v>6</v>
      </c>
      <c r="D103" s="11">
        <v>6</v>
      </c>
    </row>
    <row r="104" spans="1:4" x14ac:dyDescent="0.3">
      <c r="A104" s="5">
        <v>39</v>
      </c>
      <c r="B104" s="11">
        <v>2</v>
      </c>
      <c r="C104" s="11">
        <v>1</v>
      </c>
      <c r="D104" s="11">
        <v>3</v>
      </c>
    </row>
    <row r="105" spans="1:4" x14ac:dyDescent="0.3">
      <c r="A105" s="5">
        <v>40</v>
      </c>
      <c r="B105" s="11">
        <v>2</v>
      </c>
      <c r="C105" s="11">
        <v>2</v>
      </c>
      <c r="D105" s="11">
        <v>4</v>
      </c>
    </row>
    <row r="106" spans="1:4" x14ac:dyDescent="0.3">
      <c r="A106" s="5">
        <v>41</v>
      </c>
      <c r="B106" s="11">
        <v>2</v>
      </c>
      <c r="C106" s="11">
        <v>1</v>
      </c>
      <c r="D106" s="11">
        <v>3</v>
      </c>
    </row>
    <row r="107" spans="1:4" x14ac:dyDescent="0.3">
      <c r="A107" s="5">
        <v>42</v>
      </c>
      <c r="B107" s="11">
        <v>3</v>
      </c>
      <c r="C107" s="11">
        <v>2</v>
      </c>
      <c r="D107" s="11">
        <v>5</v>
      </c>
    </row>
    <row r="108" spans="1:4" x14ac:dyDescent="0.3">
      <c r="A108" s="5">
        <v>43</v>
      </c>
      <c r="B108" s="11"/>
      <c r="C108" s="11">
        <v>5</v>
      </c>
      <c r="D108" s="11">
        <v>5</v>
      </c>
    </row>
    <row r="109" spans="1:4" x14ac:dyDescent="0.3">
      <c r="A109" s="5">
        <v>44</v>
      </c>
      <c r="B109" s="11"/>
      <c r="C109" s="11">
        <v>1</v>
      </c>
      <c r="D109" s="11">
        <v>1</v>
      </c>
    </row>
    <row r="110" spans="1:4" x14ac:dyDescent="0.3">
      <c r="A110" s="5">
        <v>45</v>
      </c>
      <c r="B110" s="11">
        <v>1</v>
      </c>
      <c r="C110" s="11"/>
      <c r="D110" s="11">
        <v>1</v>
      </c>
    </row>
    <row r="111" spans="1:4" x14ac:dyDescent="0.3">
      <c r="A111" s="5">
        <v>47</v>
      </c>
      <c r="B111" s="11">
        <v>2</v>
      </c>
      <c r="C111" s="11">
        <v>2</v>
      </c>
      <c r="D111" s="11">
        <v>4</v>
      </c>
    </row>
    <row r="112" spans="1:4" x14ac:dyDescent="0.3">
      <c r="A112" s="5">
        <v>48</v>
      </c>
      <c r="B112" s="11">
        <v>1</v>
      </c>
      <c r="C112" s="11"/>
      <c r="D112" s="11">
        <v>1</v>
      </c>
    </row>
    <row r="113" spans="1:4" x14ac:dyDescent="0.3">
      <c r="A113" s="5">
        <v>50</v>
      </c>
      <c r="B113" s="11"/>
      <c r="C113" s="11">
        <v>1</v>
      </c>
      <c r="D113" s="11">
        <v>1</v>
      </c>
    </row>
    <row r="114" spans="1:4" x14ac:dyDescent="0.3">
      <c r="A114" s="5">
        <v>52</v>
      </c>
      <c r="B114" s="11"/>
      <c r="C114" s="11">
        <v>1</v>
      </c>
      <c r="D114" s="11">
        <v>1</v>
      </c>
    </row>
    <row r="115" spans="1:4" x14ac:dyDescent="0.3">
      <c r="A115" s="5">
        <v>59</v>
      </c>
      <c r="B115" s="11">
        <v>1</v>
      </c>
      <c r="C115" s="11"/>
      <c r="D115" s="11">
        <v>1</v>
      </c>
    </row>
    <row r="116" spans="1:4" x14ac:dyDescent="0.3">
      <c r="A116" s="5">
        <v>61</v>
      </c>
      <c r="B116" s="11">
        <v>1</v>
      </c>
      <c r="C116" s="11"/>
      <c r="D116" s="11">
        <v>1</v>
      </c>
    </row>
    <row r="117" spans="1:4" x14ac:dyDescent="0.3">
      <c r="A117" s="5">
        <v>62</v>
      </c>
      <c r="B117" s="11">
        <v>2</v>
      </c>
      <c r="C117" s="11"/>
      <c r="D117" s="11">
        <v>2</v>
      </c>
    </row>
    <row r="118" spans="1:4" x14ac:dyDescent="0.3">
      <c r="A118" s="5">
        <v>64</v>
      </c>
      <c r="B118" s="11">
        <v>1</v>
      </c>
      <c r="C118" s="11">
        <v>1</v>
      </c>
      <c r="D118" s="11">
        <v>2</v>
      </c>
    </row>
    <row r="119" spans="1:4" x14ac:dyDescent="0.3">
      <c r="A119" s="5">
        <v>65</v>
      </c>
      <c r="B119" s="11">
        <v>2</v>
      </c>
      <c r="C119" s="11">
        <v>1</v>
      </c>
      <c r="D119" s="11">
        <v>3</v>
      </c>
    </row>
    <row r="120" spans="1:4" x14ac:dyDescent="0.3">
      <c r="A120" s="5">
        <v>66</v>
      </c>
      <c r="B120" s="11">
        <v>2</v>
      </c>
      <c r="C120" s="11">
        <v>1</v>
      </c>
      <c r="D120" s="11">
        <v>3</v>
      </c>
    </row>
    <row r="121" spans="1:4" x14ac:dyDescent="0.3">
      <c r="A121" s="5">
        <v>80</v>
      </c>
      <c r="B121" s="11">
        <v>1</v>
      </c>
      <c r="C121" s="11"/>
      <c r="D121" s="11">
        <v>1</v>
      </c>
    </row>
    <row r="122" spans="1:4" x14ac:dyDescent="0.3">
      <c r="A122" s="5">
        <v>89</v>
      </c>
      <c r="B122" s="11">
        <v>1</v>
      </c>
      <c r="C122" s="11"/>
      <c r="D122" s="11">
        <v>1</v>
      </c>
    </row>
    <row r="123" spans="1:4" x14ac:dyDescent="0.3">
      <c r="A123" s="5" t="s">
        <v>43</v>
      </c>
      <c r="B123" s="11">
        <v>24</v>
      </c>
      <c r="C123" s="11">
        <v>35</v>
      </c>
      <c r="D123" s="11">
        <v>59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F417-9B15-4697-8407-4FC4FFF7F35E}">
  <dimension ref="A1:AF8"/>
  <sheetViews>
    <sheetView showGridLines="0" zoomScale="60" zoomScaleNormal="60" workbookViewId="0">
      <selection activeCell="AB22" sqref="AB22"/>
    </sheetView>
  </sheetViews>
  <sheetFormatPr defaultRowHeight="14.4" x14ac:dyDescent="0.3"/>
  <cols>
    <col min="21" max="21" width="9.77734375" customWidth="1"/>
    <col min="24" max="24" width="13.88671875" customWidth="1"/>
  </cols>
  <sheetData>
    <row r="1" spans="1:32" x14ac:dyDescent="0.3">
      <c r="A1" s="7"/>
      <c r="B1" s="7"/>
      <c r="C1" s="7"/>
      <c r="D1" s="7"/>
      <c r="E1" s="7"/>
      <c r="F1" s="7"/>
      <c r="G1" s="7"/>
      <c r="H1" s="7"/>
      <c r="I1" s="7"/>
      <c r="J1" s="7"/>
      <c r="K1" s="7"/>
      <c r="L1" s="7"/>
      <c r="M1" s="7"/>
      <c r="N1" s="7"/>
      <c r="O1" s="7"/>
      <c r="P1" s="7"/>
      <c r="Q1" s="7"/>
      <c r="R1" s="7"/>
      <c r="S1" s="7"/>
      <c r="T1" s="7"/>
      <c r="U1" s="7"/>
      <c r="V1" s="7"/>
      <c r="W1" s="7"/>
      <c r="X1" s="7"/>
      <c r="Y1" s="6"/>
      <c r="Z1" s="6"/>
      <c r="AA1" s="6"/>
      <c r="AB1" s="6"/>
      <c r="AC1" s="6"/>
      <c r="AD1" s="6"/>
    </row>
    <row r="2" spans="1:32" x14ac:dyDescent="0.3">
      <c r="A2" s="7"/>
      <c r="B2" s="7"/>
      <c r="C2" s="7"/>
      <c r="D2" s="7"/>
      <c r="E2" s="7"/>
      <c r="F2" s="7"/>
      <c r="G2" s="7"/>
      <c r="H2" s="7"/>
      <c r="I2" s="7"/>
      <c r="J2" s="7"/>
      <c r="K2" s="7"/>
      <c r="L2" s="7"/>
      <c r="M2" s="7"/>
      <c r="N2" s="7"/>
      <c r="O2" s="7"/>
      <c r="P2" s="7"/>
      <c r="Q2" s="7"/>
      <c r="R2" s="7"/>
      <c r="S2" s="7"/>
      <c r="T2" s="7"/>
      <c r="U2" s="7"/>
      <c r="V2" s="7"/>
      <c r="W2" s="7"/>
      <c r="X2" s="7"/>
      <c r="Y2" s="6"/>
      <c r="Z2" s="6"/>
      <c r="AA2" s="6"/>
      <c r="AB2" s="6"/>
      <c r="AC2" s="6"/>
      <c r="AD2" s="6"/>
    </row>
    <row r="3" spans="1:32" s="6" customFormat="1" ht="61.2" x14ac:dyDescent="0.3">
      <c r="A3" s="7"/>
      <c r="B3" s="7"/>
      <c r="C3" s="9"/>
      <c r="D3" s="9"/>
      <c r="E3" s="9"/>
      <c r="F3" s="9"/>
      <c r="G3" s="10" t="s">
        <v>50</v>
      </c>
      <c r="H3" s="9"/>
      <c r="I3" s="9"/>
      <c r="J3" s="9"/>
      <c r="K3" s="9"/>
      <c r="L3" s="8"/>
      <c r="M3" s="8"/>
      <c r="N3" s="8"/>
      <c r="O3" s="8"/>
      <c r="P3" s="7"/>
      <c r="Q3" s="7"/>
      <c r="R3" s="7"/>
      <c r="S3" s="7"/>
      <c r="T3" s="7"/>
      <c r="U3" s="7"/>
      <c r="V3" s="7"/>
      <c r="W3" s="7"/>
      <c r="X3" s="7"/>
    </row>
    <row r="4" spans="1:32" s="6" customFormat="1" x14ac:dyDescent="0.3">
      <c r="A4" s="7"/>
      <c r="B4" s="7"/>
      <c r="C4" s="7"/>
      <c r="D4" s="7"/>
      <c r="E4" s="7"/>
      <c r="F4" s="7"/>
      <c r="G4" s="7"/>
      <c r="H4" s="7"/>
      <c r="I4" s="7"/>
      <c r="J4" s="7"/>
      <c r="K4" s="7"/>
      <c r="L4" s="7"/>
      <c r="M4" s="7"/>
      <c r="N4" s="7"/>
      <c r="O4" s="7"/>
      <c r="P4" s="7"/>
      <c r="Q4" s="7"/>
      <c r="R4" s="7"/>
      <c r="S4" s="7"/>
      <c r="T4" s="7"/>
      <c r="U4" s="7"/>
      <c r="V4" s="7"/>
      <c r="W4" s="7"/>
      <c r="X4" s="7"/>
    </row>
    <row r="5" spans="1:32" s="6" customFormat="1" x14ac:dyDescent="0.3">
      <c r="A5" s="7"/>
      <c r="B5" s="7"/>
      <c r="C5" s="7"/>
      <c r="D5" s="7"/>
      <c r="E5" s="7"/>
      <c r="F5" s="7"/>
      <c r="G5" s="7"/>
      <c r="H5" s="7"/>
      <c r="I5" s="7"/>
      <c r="J5" s="7"/>
      <c r="K5" s="7"/>
      <c r="L5" s="7"/>
      <c r="M5" s="7"/>
      <c r="N5" s="7"/>
      <c r="O5" s="7"/>
      <c r="P5" s="7"/>
      <c r="Q5" s="7"/>
      <c r="R5" s="7"/>
      <c r="S5" s="7"/>
      <c r="T5" s="7"/>
      <c r="U5" s="7"/>
      <c r="V5" s="7"/>
      <c r="W5" s="7"/>
      <c r="X5" s="7"/>
    </row>
    <row r="6" spans="1:32" s="6" customFormat="1" x14ac:dyDescent="0.3">
      <c r="A6" s="7"/>
      <c r="B6" s="7"/>
      <c r="C6" s="7"/>
      <c r="D6" s="7"/>
      <c r="E6" s="7"/>
      <c r="F6" s="7"/>
      <c r="G6" s="7"/>
      <c r="H6" s="7"/>
      <c r="I6" s="7"/>
      <c r="J6" s="7"/>
      <c r="K6" s="7"/>
      <c r="L6" s="7"/>
      <c r="M6" s="7"/>
      <c r="N6" s="7"/>
      <c r="O6" s="7"/>
      <c r="P6" s="7"/>
      <c r="Q6" s="7"/>
      <c r="R6" s="7"/>
      <c r="S6" s="7"/>
      <c r="T6" s="7"/>
      <c r="U6" s="7"/>
      <c r="V6" s="7"/>
      <c r="W6" s="7"/>
      <c r="X6" s="7"/>
    </row>
    <row r="7" spans="1:32"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row>
    <row r="8" spans="1:32"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tushar negi</cp:lastModifiedBy>
  <dcterms:created xsi:type="dcterms:W3CDTF">2022-03-18T02:50:57Z</dcterms:created>
  <dcterms:modified xsi:type="dcterms:W3CDTF">2026-07-01T19:29:59Z</dcterms:modified>
</cp:coreProperties>
</file>